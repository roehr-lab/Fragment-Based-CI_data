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/simulations/MethodPaper/cc-pvdz/anthracene_special_points_corrNOCI/"/>
    </mc:Choice>
  </mc:AlternateContent>
  <xr:revisionPtr revIDLastSave="0" documentId="13_ncr:1_{7897CCDC-0D4D-974E-BDFB-878D3F710AD4}" xr6:coauthVersionLast="47" xr6:coauthVersionMax="47" xr10:uidLastSave="{00000000-0000-0000-0000-000000000000}"/>
  <bookViews>
    <workbookView xWindow="380" yWindow="15860" windowWidth="34120" windowHeight="17440" xr2:uid="{5335798E-F1C9-5C44-B16A-7D50B13DD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D13" i="1"/>
  <c r="K7" i="1"/>
  <c r="K8" i="1"/>
  <c r="K9" i="1"/>
  <c r="K10" i="1"/>
  <c r="K6" i="1"/>
  <c r="J7" i="1"/>
  <c r="J9" i="1"/>
  <c r="J10" i="1"/>
  <c r="J6" i="1"/>
  <c r="I7" i="1"/>
  <c r="I9" i="1"/>
  <c r="I10" i="1"/>
  <c r="I6" i="1"/>
</calcChain>
</file>

<file path=xl/sharedStrings.xml><?xml version="1.0" encoding="utf-8"?>
<sst xmlns="http://schemas.openxmlformats.org/spreadsheetml/2006/main" count="14" uniqueCount="14">
  <si>
    <t>Anthracene</t>
  </si>
  <si>
    <t>Calculated determinant energies ORCA/SYMCI</t>
  </si>
  <si>
    <t>index</t>
  </si>
  <si>
    <t>D+</t>
  </si>
  <si>
    <t>S0</t>
  </si>
  <si>
    <t>T1</t>
  </si>
  <si>
    <t>S1</t>
  </si>
  <si>
    <t>D-</t>
  </si>
  <si>
    <t>Anthracene CASSCF NOCI</t>
  </si>
  <si>
    <t>Anthracene CASPT2 NOCI</t>
  </si>
  <si>
    <t>diff casscf</t>
  </si>
  <si>
    <t>diff CASPT2</t>
  </si>
  <si>
    <t>shifted index</t>
  </si>
  <si>
    <t>S1-S0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</si>
</sst>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4D3E-FD4D-944F-8876-DF931659E3A9}">
  <dimension ref="B3:K13"/>
  <sheetViews>
    <sheetView tabSelected="1" topLeftCell="C1" zoomScale="180" zoomScaleNormal="180" workbookViewId="0">
      <selection activeCell="G13" sqref="G13"/>
    </sheetView>
  </sheetViews>
  <sheetFormatPr baseColWidth="10" defaultRowHeight="16" x14ac:dyDescent="0.2"/>
  <cols>
    <col min="4" max="4" width="39.83203125" customWidth="1"/>
    <col min="6" max="6" width="22.1640625" customWidth="1"/>
    <col min="7" max="7" width="22.5" customWidth="1"/>
  </cols>
  <sheetData>
    <row r="3" spans="2:11" x14ac:dyDescent="0.2">
      <c r="B3" t="s">
        <v>2</v>
      </c>
    </row>
    <row r="4" spans="2:11" x14ac:dyDescent="0.2">
      <c r="D4" t="s">
        <v>0</v>
      </c>
    </row>
    <row r="5" spans="2:11" x14ac:dyDescent="0.2">
      <c r="D5" t="s">
        <v>1</v>
      </c>
      <c r="F5" t="s">
        <v>8</v>
      </c>
      <c r="G5" t="s">
        <v>9</v>
      </c>
      <c r="I5" t="s">
        <v>10</v>
      </c>
      <c r="J5" t="s">
        <v>11</v>
      </c>
      <c r="K5" t="s">
        <v>12</v>
      </c>
    </row>
    <row r="6" spans="2:11" x14ac:dyDescent="0.2">
      <c r="B6">
        <v>3</v>
      </c>
      <c r="C6" t="s">
        <v>3</v>
      </c>
      <c r="D6">
        <v>-535.7805592103</v>
      </c>
      <c r="F6">
        <v>-535.81041359999995</v>
      </c>
      <c r="G6">
        <v>-537.58367969999995</v>
      </c>
      <c r="I6">
        <f>F6-D6</f>
        <v>-2.9854389699949024E-2</v>
      </c>
      <c r="J6">
        <f>G6-D6</f>
        <v>-1.8031204896999498</v>
      </c>
      <c r="K6">
        <f>B6+1</f>
        <v>4</v>
      </c>
    </row>
    <row r="7" spans="2:11" x14ac:dyDescent="0.2">
      <c r="B7">
        <v>7</v>
      </c>
      <c r="C7" t="s">
        <v>4</v>
      </c>
      <c r="D7">
        <v>-536.02817980040004</v>
      </c>
      <c r="F7">
        <v>-536.06563129999995</v>
      </c>
      <c r="G7">
        <v>-537.84679589999996</v>
      </c>
      <c r="I7">
        <f t="shared" ref="I7:I10" si="0">F7-D7</f>
        <v>-3.7451499599910676E-2</v>
      </c>
      <c r="J7">
        <f t="shared" ref="J7:J10" si="1">G7-D7</f>
        <v>-1.8186160995999217</v>
      </c>
      <c r="K7">
        <f t="shared" ref="K7:K10" si="2">B7+1</f>
        <v>8</v>
      </c>
    </row>
    <row r="8" spans="2:11" x14ac:dyDescent="0.2">
      <c r="B8">
        <v>4</v>
      </c>
      <c r="C8" t="s">
        <v>5</v>
      </c>
      <c r="D8">
        <v>-535.92866990480002</v>
      </c>
      <c r="K8">
        <f t="shared" si="2"/>
        <v>5</v>
      </c>
    </row>
    <row r="9" spans="2:11" x14ac:dyDescent="0.2">
      <c r="B9">
        <v>5</v>
      </c>
      <c r="C9" t="s">
        <v>6</v>
      </c>
      <c r="D9">
        <v>-535.85918596099998</v>
      </c>
      <c r="F9">
        <v>-535.87744020000002</v>
      </c>
      <c r="G9">
        <v>-537.71123139999997</v>
      </c>
      <c r="I9">
        <f t="shared" si="0"/>
        <v>-1.8254239000043526E-2</v>
      </c>
      <c r="J9">
        <f t="shared" si="1"/>
        <v>-1.8520454389999941</v>
      </c>
      <c r="K9">
        <f t="shared" si="2"/>
        <v>6</v>
      </c>
    </row>
    <row r="10" spans="2:11" x14ac:dyDescent="0.2">
      <c r="B10">
        <v>8</v>
      </c>
      <c r="C10" t="s">
        <v>7</v>
      </c>
      <c r="D10">
        <v>-535.97648701009996</v>
      </c>
      <c r="F10">
        <v>-536.00997840000002</v>
      </c>
      <c r="G10">
        <v>-537.84311920000005</v>
      </c>
      <c r="I10">
        <f t="shared" si="0"/>
        <v>-3.349138990006395E-2</v>
      </c>
      <c r="J10">
        <f t="shared" si="1"/>
        <v>-1.8666321899000877</v>
      </c>
      <c r="K10">
        <f t="shared" si="2"/>
        <v>9</v>
      </c>
    </row>
    <row r="13" spans="2:11" x14ac:dyDescent="0.2">
      <c r="C13" t="s">
        <v>13</v>
      </c>
      <c r="D13">
        <f>D9-D7</f>
        <v>0.16899383940005919</v>
      </c>
      <c r="F13">
        <f>F9-F7</f>
        <v>0.18819109999992634</v>
      </c>
      <c r="G13">
        <f>G9-G7</f>
        <v>0.13556449999998677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Adelsperger</dc:creator>
  <cp:lastModifiedBy>Johannes Adelsperger</cp:lastModifiedBy>
  <dcterms:created xsi:type="dcterms:W3CDTF">2026-03-11T15:53:19Z</dcterms:created>
  <dcterms:modified xsi:type="dcterms:W3CDTF">2026-03-12T09:59:40Z</dcterms:modified>
</cp:coreProperties>
</file>